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imated Budget" sheetId="1" r:id="rId4"/>
    <sheet state="visible" name="Sheet1" sheetId="2" r:id="rId5"/>
  </sheets>
  <definedNames/>
  <calcPr/>
</workbook>
</file>

<file path=xl/sharedStrings.xml><?xml version="1.0" encoding="utf-8"?>
<sst xmlns="http://schemas.openxmlformats.org/spreadsheetml/2006/main" count="56" uniqueCount="48">
  <si>
    <t>1. Hardware Costs (One-Time Purchase)</t>
  </si>
  <si>
    <t>Summary of Costs (Annual)</t>
  </si>
  <si>
    <t>Item</t>
  </si>
  <si>
    <t>Quantity</t>
  </si>
  <si>
    <t>Unit Cost (BDT)</t>
  </si>
  <si>
    <t>Total Cost (BDT)</t>
  </si>
  <si>
    <t>Category</t>
  </si>
  <si>
    <t>Arduino (or similar microcontroller)</t>
  </si>
  <si>
    <t>1. Hardware Costs (One-time)</t>
  </si>
  <si>
    <t>Ultrasonic Sensor (HC-SR04)</t>
  </si>
  <si>
    <t>2. Networking and Connectivity</t>
  </si>
  <si>
    <t>Submersible Water Level Sensor</t>
  </si>
  <si>
    <t>3. External Consultant Salary</t>
  </si>
  <si>
    <t>Rain Sensor (YL-83)</t>
  </si>
  <si>
    <t>4. Maintenance &amp; Miscellaneous</t>
  </si>
  <si>
    <t>Barometric Pressure Sensor (BMP180)</t>
  </si>
  <si>
    <t>5. Contingency Fund</t>
  </si>
  <si>
    <t>Wind Speed and Direction Sensor</t>
  </si>
  <si>
    <t>Air Quality Sensor (MQ-135)</t>
  </si>
  <si>
    <t>Grand Total</t>
  </si>
  <si>
    <t>Seismic Sensor (ADXL345)</t>
  </si>
  <si>
    <t>Soil Quality Sensor (SEN0193)</t>
  </si>
  <si>
    <t>Water Pressure Sensor (MPX5700AP)</t>
  </si>
  <si>
    <t>Flow Rate Sensor (YF-S201)</t>
  </si>
  <si>
    <t>GSM/4G Module (SIM800L or SIM7600)</t>
  </si>
  <si>
    <t>GPS Module (Neo-6M)</t>
  </si>
  <si>
    <t>DHT22 Sensor (Temperature &amp; Humidity)</t>
  </si>
  <si>
    <t>Battery Packs</t>
  </si>
  <si>
    <t>Enclosures (Weatherproof)</t>
  </si>
  <si>
    <t>Creality K1 Max AI Fast 3D Printer</t>
  </si>
  <si>
    <t>Miscellaneous Components (Wires, resistors, etc.)</t>
  </si>
  <si>
    <t>Total Hardware Costs</t>
  </si>
  <si>
    <t>2. Networking and Connectivity Costs (Annual)</t>
  </si>
  <si>
    <t>Cost (BDT per Month)</t>
  </si>
  <si>
    <t>Total Cost (BDT for 12 months)</t>
  </si>
  <si>
    <t>Data Plan (GSM/4G per device [20 units])</t>
  </si>
  <si>
    <t>Web Server Hosting &amp; Cloud Storage</t>
  </si>
  <si>
    <t>Total Connectivity Costs</t>
  </si>
  <si>
    <t>3. External Consultant Salary (Annual)</t>
  </si>
  <si>
    <t>Consultant [Electrical,Power Electronics and Hardware]</t>
  </si>
  <si>
    <t>Consultant [Networking, Connectivity and remote sensing]</t>
  </si>
  <si>
    <t>Consultant [Embedded Systems Engineering]</t>
  </si>
  <si>
    <t>Total Consultant Costs</t>
  </si>
  <si>
    <t>4. Maintenance &amp; Miscellaneous Expenses (Annual)</t>
  </si>
  <si>
    <t>Routine Maintenance (spare parts, repairs, etc.)</t>
  </si>
  <si>
    <t>Travel Costs (site visits, inspections)</t>
  </si>
  <si>
    <t>Miscellaneous Fees (permits, licenses, etc.)</t>
  </si>
  <si>
    <t>Total Maintenance Costs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</si>
</sst>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  <xf borderId="0" fillId="2" fontId="2" numFmtId="0" xfId="0" applyAlignment="1" applyFill="1" applyFont="1">
      <alignment readingOrder="0"/>
    </xf>
    <xf borderId="0" fillId="0" fontId="2" numFmtId="3" xfId="0" applyFont="1" applyNumberFormat="1"/>
    <xf borderId="0" fillId="2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6.0"/>
    <col customWidth="1" min="2" max="2" width="22.5"/>
    <col customWidth="1" min="3" max="3" width="27.13"/>
    <col customWidth="1" min="4" max="4" width="13.88"/>
    <col customWidth="1" min="6" max="6" width="31.75"/>
    <col customWidth="1" min="7" max="7" width="17.63"/>
  </cols>
  <sheetData>
    <row r="1">
      <c r="A1" s="1" t="s">
        <v>0</v>
      </c>
      <c r="D1" s="2">
        <f>SUM(B1*C1)</f>
        <v>0</v>
      </c>
      <c r="F1" s="1" t="s">
        <v>1</v>
      </c>
    </row>
    <row r="2">
      <c r="A2" s="3"/>
      <c r="B2" s="3"/>
      <c r="C2" s="3"/>
      <c r="D2" s="3"/>
    </row>
    <row r="3">
      <c r="A3" s="3" t="s">
        <v>2</v>
      </c>
      <c r="B3" s="3" t="s">
        <v>3</v>
      </c>
      <c r="C3" s="3" t="s">
        <v>4</v>
      </c>
      <c r="D3" s="3" t="s">
        <v>5</v>
      </c>
      <c r="F3" s="3" t="s">
        <v>6</v>
      </c>
      <c r="G3" s="3" t="s">
        <v>5</v>
      </c>
    </row>
    <row r="4">
      <c r="A4" s="4" t="s">
        <v>7</v>
      </c>
      <c r="B4" s="4">
        <v>30.0</v>
      </c>
      <c r="C4" s="5">
        <v>430.0</v>
      </c>
      <c r="D4" s="2">
        <f t="shared" ref="D4:D21" si="1">SUM(B4*C4)</f>
        <v>12900</v>
      </c>
      <c r="F4" s="4" t="s">
        <v>8</v>
      </c>
      <c r="G4" s="5">
        <f>Sum(D23)</f>
        <v>352050</v>
      </c>
    </row>
    <row r="5">
      <c r="A5" s="4" t="s">
        <v>9</v>
      </c>
      <c r="B5" s="4">
        <v>25.0</v>
      </c>
      <c r="C5" s="4">
        <v>250.0</v>
      </c>
      <c r="D5" s="2">
        <f t="shared" si="1"/>
        <v>6250</v>
      </c>
      <c r="F5" s="6" t="s">
        <v>10</v>
      </c>
      <c r="G5" s="5">
        <f>sum(C31)</f>
        <v>180000</v>
      </c>
    </row>
    <row r="6">
      <c r="A6" s="4" t="s">
        <v>11</v>
      </c>
      <c r="B6" s="4">
        <v>10.0</v>
      </c>
      <c r="C6" s="4">
        <v>500.0</v>
      </c>
      <c r="D6" s="2">
        <f t="shared" si="1"/>
        <v>5000</v>
      </c>
      <c r="F6" s="4" t="s">
        <v>12</v>
      </c>
      <c r="G6" s="5">
        <f>SUM(C40)</f>
        <v>600000</v>
      </c>
    </row>
    <row r="7">
      <c r="A7" s="4" t="s">
        <v>13</v>
      </c>
      <c r="B7" s="4">
        <v>10.0</v>
      </c>
      <c r="C7" s="4">
        <v>150.0</v>
      </c>
      <c r="D7" s="2">
        <f t="shared" si="1"/>
        <v>1500</v>
      </c>
      <c r="F7" s="4" t="s">
        <v>14</v>
      </c>
      <c r="G7" s="5">
        <f>Sum(C49)</f>
        <v>114000</v>
      </c>
    </row>
    <row r="8">
      <c r="A8" s="4" t="s">
        <v>15</v>
      </c>
      <c r="B8" s="4">
        <v>10.0</v>
      </c>
      <c r="C8" s="4">
        <v>600.0</v>
      </c>
      <c r="D8" s="2">
        <f t="shared" si="1"/>
        <v>6000</v>
      </c>
      <c r="F8" s="4" t="s">
        <v>16</v>
      </c>
      <c r="G8" s="5">
        <v>0.0</v>
      </c>
    </row>
    <row r="9">
      <c r="A9" s="4" t="s">
        <v>17</v>
      </c>
      <c r="B9" s="4">
        <v>10.0</v>
      </c>
      <c r="C9" s="5">
        <v>2500.0</v>
      </c>
      <c r="D9" s="2">
        <f t="shared" si="1"/>
        <v>25000</v>
      </c>
    </row>
    <row r="10">
      <c r="A10" s="4" t="s">
        <v>18</v>
      </c>
      <c r="B10" s="4">
        <v>30.0</v>
      </c>
      <c r="C10" s="4">
        <v>800.0</v>
      </c>
      <c r="D10" s="2">
        <f t="shared" si="1"/>
        <v>24000</v>
      </c>
      <c r="F10" s="4" t="s">
        <v>19</v>
      </c>
      <c r="G10" s="7">
        <f>SUM(G4:G8)</f>
        <v>1246050</v>
      </c>
    </row>
    <row r="11">
      <c r="A11" s="4" t="s">
        <v>20</v>
      </c>
      <c r="B11" s="4">
        <v>10.0</v>
      </c>
      <c r="C11" s="5">
        <v>1200.0</v>
      </c>
      <c r="D11" s="2">
        <f t="shared" si="1"/>
        <v>12000</v>
      </c>
    </row>
    <row r="12">
      <c r="A12" s="4" t="s">
        <v>21</v>
      </c>
      <c r="B12" s="4">
        <v>10.0</v>
      </c>
      <c r="C12" s="5">
        <v>2000.0</v>
      </c>
      <c r="D12" s="2">
        <f t="shared" si="1"/>
        <v>20000</v>
      </c>
    </row>
    <row r="13">
      <c r="A13" s="4" t="s">
        <v>22</v>
      </c>
      <c r="B13" s="4">
        <v>10.0</v>
      </c>
      <c r="C13" s="5">
        <v>2200.0</v>
      </c>
      <c r="D13" s="2">
        <f t="shared" si="1"/>
        <v>22000</v>
      </c>
    </row>
    <row r="14">
      <c r="A14" s="4" t="s">
        <v>23</v>
      </c>
      <c r="B14" s="4">
        <v>10.0</v>
      </c>
      <c r="C14" s="4">
        <v>600.0</v>
      </c>
      <c r="D14" s="2">
        <f t="shared" si="1"/>
        <v>6000</v>
      </c>
    </row>
    <row r="15">
      <c r="A15" s="4" t="s">
        <v>24</v>
      </c>
      <c r="B15" s="4">
        <v>25.0</v>
      </c>
      <c r="C15" s="5">
        <v>2500.0</v>
      </c>
      <c r="D15" s="2">
        <f t="shared" si="1"/>
        <v>62500</v>
      </c>
    </row>
    <row r="16">
      <c r="A16" s="4" t="s">
        <v>25</v>
      </c>
      <c r="B16" s="4">
        <v>10.0</v>
      </c>
      <c r="C16" s="5">
        <v>1000.0</v>
      </c>
      <c r="D16" s="2">
        <f t="shared" si="1"/>
        <v>10000</v>
      </c>
    </row>
    <row r="17">
      <c r="A17" s="4" t="s">
        <v>26</v>
      </c>
      <c r="B17" s="4">
        <v>30.0</v>
      </c>
      <c r="C17" s="4">
        <v>400.0</v>
      </c>
      <c r="D17" s="2">
        <f t="shared" si="1"/>
        <v>12000</v>
      </c>
    </row>
    <row r="18">
      <c r="A18" s="4" t="s">
        <v>27</v>
      </c>
      <c r="B18" s="4">
        <v>30.0</v>
      </c>
      <c r="C18" s="5">
        <v>1500.0</v>
      </c>
      <c r="D18" s="2">
        <f t="shared" si="1"/>
        <v>45000</v>
      </c>
    </row>
    <row r="19">
      <c r="A19" s="4" t="s">
        <v>28</v>
      </c>
      <c r="B19" s="4">
        <v>30.0</v>
      </c>
      <c r="C19" s="5">
        <v>2500.0</v>
      </c>
      <c r="D19" s="2">
        <f t="shared" si="1"/>
        <v>75000</v>
      </c>
    </row>
    <row r="20">
      <c r="A20" s="4" t="s">
        <v>29</v>
      </c>
      <c r="B20" s="4">
        <v>0.0</v>
      </c>
      <c r="C20" s="4">
        <v>173525.0</v>
      </c>
      <c r="D20" s="2">
        <f t="shared" si="1"/>
        <v>0</v>
      </c>
    </row>
    <row r="21">
      <c r="A21" s="4" t="s">
        <v>30</v>
      </c>
      <c r="B21" s="4">
        <v>1.0</v>
      </c>
      <c r="C21" s="4">
        <v>6900.0</v>
      </c>
      <c r="D21" s="2">
        <f t="shared" si="1"/>
        <v>6900</v>
      </c>
    </row>
    <row r="23">
      <c r="A23" s="4" t="s">
        <v>31</v>
      </c>
      <c r="D23" s="2">
        <f>SUM(D1:D21)</f>
        <v>352050</v>
      </c>
    </row>
    <row r="25">
      <c r="A25" s="1" t="s">
        <v>32</v>
      </c>
    </row>
    <row r="27">
      <c r="A27" s="3" t="s">
        <v>2</v>
      </c>
      <c r="B27" s="3" t="s">
        <v>33</v>
      </c>
      <c r="C27" s="3" t="s">
        <v>34</v>
      </c>
    </row>
    <row r="28">
      <c r="A28" s="4" t="s">
        <v>35</v>
      </c>
      <c r="B28" s="4">
        <v>500.0</v>
      </c>
      <c r="C28" s="5">
        <f>SUM(B28*12*20)</f>
        <v>120000</v>
      </c>
    </row>
    <row r="29">
      <c r="A29" s="4" t="s">
        <v>36</v>
      </c>
      <c r="B29" s="5">
        <v>5000.0</v>
      </c>
      <c r="C29" s="5">
        <f>SUM(B29*12)</f>
        <v>60000</v>
      </c>
    </row>
    <row r="30">
      <c r="A30" s="4"/>
      <c r="C30" s="4"/>
    </row>
    <row r="31">
      <c r="A31" s="4" t="s">
        <v>37</v>
      </c>
      <c r="C31" s="7">
        <f>SUM(C28:C29)</f>
        <v>180000</v>
      </c>
    </row>
    <row r="33">
      <c r="A33" s="8" t="s">
        <v>38</v>
      </c>
    </row>
    <row r="35">
      <c r="A35" s="3" t="s">
        <v>2</v>
      </c>
      <c r="B35" s="3" t="s">
        <v>33</v>
      </c>
      <c r="C35" s="3" t="s">
        <v>34</v>
      </c>
    </row>
    <row r="36">
      <c r="A36" s="4" t="s">
        <v>39</v>
      </c>
      <c r="B36" s="5">
        <v>15000.0</v>
      </c>
      <c r="C36" s="5">
        <f t="shared" ref="C36:C38" si="2">SUM(B36*12)</f>
        <v>180000</v>
      </c>
    </row>
    <row r="37">
      <c r="A37" s="4" t="s">
        <v>40</v>
      </c>
      <c r="B37" s="5">
        <v>15000.0</v>
      </c>
      <c r="C37" s="5">
        <f t="shared" si="2"/>
        <v>180000</v>
      </c>
    </row>
    <row r="38">
      <c r="A38" s="4" t="s">
        <v>41</v>
      </c>
      <c r="B38" s="5">
        <v>20000.0</v>
      </c>
      <c r="C38" s="5">
        <f t="shared" si="2"/>
        <v>240000</v>
      </c>
    </row>
    <row r="39">
      <c r="A39" s="4"/>
      <c r="B39" s="5"/>
      <c r="C39" s="5"/>
    </row>
    <row r="40">
      <c r="A40" s="4" t="s">
        <v>42</v>
      </c>
      <c r="C40" s="7">
        <f>SUM(C36:C38)</f>
        <v>600000</v>
      </c>
    </row>
    <row r="42">
      <c r="A42" s="8" t="s">
        <v>43</v>
      </c>
    </row>
    <row r="44">
      <c r="A44" s="3" t="s">
        <v>2</v>
      </c>
      <c r="B44" s="3" t="s">
        <v>33</v>
      </c>
      <c r="C44" s="3" t="s">
        <v>34</v>
      </c>
    </row>
    <row r="45">
      <c r="A45" s="4" t="s">
        <v>44</v>
      </c>
      <c r="B45" s="5">
        <v>2500.0</v>
      </c>
      <c r="C45" s="5">
        <f t="shared" ref="C45:C47" si="3">SUM(B45*12)</f>
        <v>30000</v>
      </c>
    </row>
    <row r="46">
      <c r="A46" s="4" t="s">
        <v>45</v>
      </c>
      <c r="B46" s="5">
        <v>5000.0</v>
      </c>
      <c r="C46" s="5">
        <f t="shared" si="3"/>
        <v>60000</v>
      </c>
    </row>
    <row r="47">
      <c r="A47" s="4" t="s">
        <v>46</v>
      </c>
      <c r="B47" s="5">
        <v>2000.0</v>
      </c>
      <c r="C47" s="5">
        <f t="shared" si="3"/>
        <v>24000</v>
      </c>
    </row>
    <row r="48">
      <c r="A48" s="4"/>
    </row>
    <row r="49">
      <c r="A49" s="4" t="s">
        <v>47</v>
      </c>
      <c r="C49" s="7">
        <f>SUM(C45:C47)</f>
        <v>114000</v>
      </c>
    </row>
  </sheetData>
  <printOptions gridLines="1" horizontalCentered="1"/>
  <pageMargins bottom="0.75" footer="0.0" header="0.0" left="0.7" right="0.7" top="0.75"/>
  <pageSetup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